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Documents\Compliance\Audit_Code\public\"/>
    </mc:Choice>
  </mc:AlternateContent>
  <bookViews>
    <workbookView xWindow="0" yWindow="0" windowWidth="15345" windowHeight="4635"/>
  </bookViews>
  <sheets>
    <sheet name="Sheet1" sheetId="1" r:id="rId1"/>
  </sheets>
  <definedNames>
    <definedName name="_xlnm._FilterDatabase" localSheetId="0" hidden="1">Sheet1!$D$1:$F$94</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1" i="1" l="1"/>
  <c r="C85" i="1"/>
  <c r="C86" i="1"/>
  <c r="C87" i="1" s="1"/>
  <c r="C88" i="1" s="1"/>
  <c r="C89" i="1" s="1"/>
  <c r="C90" i="1" s="1"/>
  <c r="C84" i="1"/>
  <c r="C74" i="1"/>
  <c r="C75" i="1"/>
  <c r="C76" i="1" s="1"/>
  <c r="C77" i="1" s="1"/>
  <c r="C78" i="1" s="1"/>
  <c r="C79" i="1" s="1"/>
  <c r="C80" i="1" s="1"/>
  <c r="C73" i="1"/>
  <c r="C55" i="1"/>
  <c r="C56" i="1" s="1"/>
  <c r="C57" i="1" s="1"/>
  <c r="C58" i="1" s="1"/>
  <c r="C59" i="1" s="1"/>
  <c r="C60" i="1" s="1"/>
  <c r="C61" i="1" s="1"/>
  <c r="C62" i="1" s="1"/>
  <c r="C46" i="1"/>
  <c r="C39" i="1"/>
  <c r="C40" i="1" s="1"/>
  <c r="C41" i="1" s="1"/>
  <c r="C42" i="1" s="1"/>
  <c r="C43" i="1" s="1"/>
  <c r="C44" i="1" s="1"/>
  <c r="C45" i="1" s="1"/>
  <c r="C27" i="1"/>
  <c r="C28" i="1" s="1"/>
  <c r="C29" i="1" s="1"/>
  <c r="C30" i="1" s="1"/>
  <c r="C31" i="1" s="1"/>
  <c r="C32" i="1" s="1"/>
  <c r="C33" i="1" s="1"/>
  <c r="C34" i="1" s="1"/>
  <c r="C35" i="1" s="1"/>
  <c r="C37" i="1" s="1"/>
  <c r="C19" i="1"/>
  <c r="C20" i="1" s="1"/>
  <c r="C21" i="1" s="1"/>
  <c r="C22" i="1" s="1"/>
  <c r="C23" i="1" s="1"/>
  <c r="C24" i="1" s="1"/>
  <c r="C25" i="1" s="1"/>
  <c r="C14" i="1"/>
  <c r="C15" i="1" s="1"/>
  <c r="C16" i="1" s="1"/>
  <c r="C17" i="1" s="1"/>
  <c r="E14" i="1"/>
  <c r="E15" i="1" s="1"/>
  <c r="E16" i="1" s="1"/>
  <c r="E17" i="1" s="1"/>
  <c r="E18" i="1" s="1"/>
  <c r="E19" i="1" s="1"/>
  <c r="E20" i="1" s="1"/>
  <c r="E21" i="1" s="1"/>
  <c r="E22" i="1" s="1"/>
  <c r="E23" i="1" s="1"/>
  <c r="E24" i="1" s="1"/>
  <c r="E25" i="1" s="1"/>
  <c r="E26" i="1" s="1"/>
  <c r="E27" i="1" s="1"/>
  <c r="E28" i="1" s="1"/>
  <c r="E29" i="1" s="1"/>
  <c r="E30" i="1" s="1"/>
  <c r="E31" i="1" s="1"/>
  <c r="E32" i="1" s="1"/>
  <c r="E33" i="1" s="1"/>
  <c r="E34" i="1" s="1"/>
  <c r="E35" i="1" s="1"/>
  <c r="E36" i="1" s="1"/>
  <c r="E37" i="1" s="1"/>
  <c r="E38" i="1" s="1"/>
  <c r="E39" i="1" s="1"/>
  <c r="E40" i="1" s="1"/>
  <c r="E41" i="1" s="1"/>
  <c r="E42" i="1" s="1"/>
  <c r="E43" i="1" s="1"/>
  <c r="E44" i="1" s="1"/>
  <c r="E45" i="1" s="1"/>
  <c r="E46" i="1" s="1"/>
  <c r="E47" i="1" s="1"/>
  <c r="E48" i="1" s="1"/>
  <c r="E49" i="1" s="1"/>
  <c r="E50" i="1" s="1"/>
  <c r="E51" i="1" s="1"/>
  <c r="E52" i="1" s="1"/>
  <c r="E53" i="1" s="1"/>
  <c r="E54" i="1" s="1"/>
  <c r="E55" i="1" s="1"/>
  <c r="E56" i="1" s="1"/>
  <c r="E57" i="1" s="1"/>
  <c r="E58" i="1" s="1"/>
  <c r="E59" i="1" s="1"/>
  <c r="E60" i="1" s="1"/>
  <c r="E61" i="1" s="1"/>
  <c r="E62" i="1" s="1"/>
  <c r="E63" i="1" s="1"/>
  <c r="E64" i="1" s="1"/>
  <c r="E65" i="1" s="1"/>
  <c r="E66" i="1" s="1"/>
  <c r="E67" i="1" s="1"/>
  <c r="E68" i="1" s="1"/>
  <c r="E69" i="1" s="1"/>
  <c r="E70" i="1" s="1"/>
  <c r="E71" i="1" s="1"/>
  <c r="E72" i="1" s="1"/>
  <c r="E73" i="1" s="1"/>
  <c r="E74" i="1" s="1"/>
  <c r="E75" i="1" s="1"/>
  <c r="E76" i="1" s="1"/>
  <c r="E77" i="1" s="1"/>
  <c r="E78" i="1" s="1"/>
  <c r="E79" i="1" s="1"/>
  <c r="E80" i="1" s="1"/>
  <c r="E81" i="1" s="1"/>
  <c r="E82" i="1" s="1"/>
  <c r="E83" i="1" s="1"/>
  <c r="E84" i="1" s="1"/>
  <c r="E85" i="1" s="1"/>
  <c r="E86" i="1" s="1"/>
  <c r="E87" i="1" s="1"/>
  <c r="E88" i="1" s="1"/>
  <c r="E89" i="1" s="1"/>
  <c r="E90" i="1" s="1"/>
  <c r="E91" i="1" s="1"/>
  <c r="E92" i="1" s="1"/>
  <c r="E93" i="1" s="1"/>
  <c r="E94" i="1" s="1"/>
  <c r="C50" i="1" l="1"/>
  <c r="C51" i="1" s="1"/>
  <c r="C52" i="1" s="1"/>
  <c r="C53" i="1" s="1"/>
  <c r="C93" i="1"/>
  <c r="C94" i="1" s="1"/>
</calcChain>
</file>

<file path=xl/sharedStrings.xml><?xml version="1.0" encoding="utf-8"?>
<sst xmlns="http://schemas.openxmlformats.org/spreadsheetml/2006/main" count="295" uniqueCount="222">
  <si>
    <t>Current processing capacity and usage are maintained, monitored, and evaluated to manage capacity demand and to enable the implementation of additional capacity to help meet the entity's availability commitments and system requirements.</t>
  </si>
  <si>
    <t>Availability</t>
  </si>
  <si>
    <t>Environmental protections, software, data backup processes, and recovery infrastructure are authorized, designed, developed, implemented, operated, approved, maintained, and monitored to meet the entity's availability commitments and system requirements.</t>
  </si>
  <si>
    <t>Recovery plan procedures supporting system recovery are tested to help meet the entity's availability commitments and system requirements.</t>
  </si>
  <si>
    <t>Confidential information is protected during the system design, development, testing, implementation, and change processes to meet the entity's confidentiality commitments and system requirements.</t>
  </si>
  <si>
    <t>Confidentiality</t>
  </si>
  <si>
    <t>Confidential information within the boundaries of the system is protected against unauthorized access, use, and disclosure during input, processing, retention, output, and disposition to meet the entity's confidentiality commitments and system requirements.</t>
  </si>
  <si>
    <t>Access to confidential information from outside the boundaries of the system and disclosure of confidential information is restricted to authorized parties to meet the entity's confidentiality commitments and system requirements.</t>
  </si>
  <si>
    <t>The entity obtains confidentiality commitments that are consistent with the entity's confidentiality system requirements from vendors and other third parties whose products and services are part of the system and have access to confidential information.</t>
  </si>
  <si>
    <t>Compliance with the entity's confidentiality commitments and system requirements by vendors and other third parties whose products and services are part of the system is assessed on a periodic and as-needed basis, and corrective action is taken, if necessary.</t>
  </si>
  <si>
    <t>Changes to the entity's confidentiality commitments and system requirements are communicated to internal and external users, vendors, and other third parties whose products and services are part of the system.</t>
  </si>
  <si>
    <t>The entity retains confidential information to meet the entity's confidentiality commitments and system requirements.</t>
  </si>
  <si>
    <t>The entity disposes of confidential information to meet the entity's confidentiality commitments and system requirements.</t>
  </si>
  <si>
    <t>Organization &amp; Management</t>
  </si>
  <si>
    <t>The entity has designed organizational structures, reporting lines, authorities, and responsibilities for the design, development, implementation, operation, maintenance, and monitoring of the system enabling it to meet its commitments and system requirements as they relate to security, availability, and confidentiality.</t>
  </si>
  <si>
    <t>Responsibility and accountability for designing, developing, implementing, operating, maintaining, monitoring, and approving the entity’s system controls and other risk mitigation strategies are assigned to individuals within the entity with authority to ensure policies and other system requirements are effectively promulgated and implemented to meet the entity’s commitments and system requirements as they relate to security, availability, and confidentiality.</t>
  </si>
  <si>
    <t>The entity has established procedures to evaluate the competency of personnel responsible for designing, developing, implementing, operating, maintaining, and monitoring the system affecting security, availability, and confidentiality and provides resources necessary for personnel to fulfill their responsibilities.</t>
  </si>
  <si>
    <t>The entity has established workforce conduct standards, implemented workforce candidate background screening procedures, and conducts enforcement procedures to enable it to meet its commitments and system requirements as they relate to security, availability, and confidentiality.</t>
  </si>
  <si>
    <t>Communications</t>
  </si>
  <si>
    <t>Information regarding the design and operation of the system and its boundaries has been prepared and communicated to authorized internal and external users of the system to permit users to understand their role in the system and the results of system operation.</t>
  </si>
  <si>
    <t>The responsibilities of internal and external users and others whose roles affect system operation are communicated to those parties.</t>
  </si>
  <si>
    <t>Information necessary for designing, developing, implementing, operating, maintaining, and monitoring controls, relevant to the security, availability, and confidentiality of the system, is provided to personnel to carry out their responsibilities.</t>
  </si>
  <si>
    <t>Internal and external users have been provided with information on how to report security, availability, and confidentiality failures, incidents,concerns, and other complaints to appropriate parties.</t>
  </si>
  <si>
    <t xml:space="preserve">The entity identifies potential threats that could impair system security, availability, and confidentiality commitments and system requirements (including threats arising from the use of vendors and other third parties providing goods and services, as well as threats arising from customer personnel and others with access to the system </t>
  </si>
  <si>
    <t>The entity reassesses, and revises as necessary, risk assessments and mitigation strategies based on the identified changes.</t>
  </si>
  <si>
    <t>The entity designs, develops, implements, and operates controls, including policies and procedures, to implement its risk mitigation strategy, reassesses the suitability of the design and implementation of control activities based on the operation and monitoring of those activities, and updates the controls, as necessary.</t>
  </si>
  <si>
    <t>Monitoring of Controls</t>
  </si>
  <si>
    <t>The design and operating effectiveness of controls are periodically evaluated against the entity’s commitments and system requirements as they relate to security, availability, and confidentiality and corrections and other necessary actions relating to identified deficiencies are taken in a timely manner.</t>
  </si>
  <si>
    <t>Logical and Physical Access Controls</t>
  </si>
  <si>
    <t>Logical access security software, infrastructure, and architectures have been implemented to support identification and authentication of authorized internal and external users.</t>
  </si>
  <si>
    <t>Restriction of authorized internal and external user access to system components, or portions thereof, authorized by management, including hardware, data, software, mobile devices, output, and offline elements</t>
  </si>
  <si>
    <t>Prevention and detection of unauthorized access to meet the entity’s commitments and system requirements as they relate to security, availability, and confidentiality.</t>
  </si>
  <si>
    <t>New internal and external users, whose access is administered by the entity, are registered and authorized prior to being issued system credentials and granted the ability to access the system to meet the entity’s commitments and system requirements as they relate to security, availability, and confidentiality. For those users whose access is administered by the entity, user system credentials are removed when user access is no longer authorized.</t>
  </si>
  <si>
    <t>Internal and external users are identified and authenticated when accessing the system components (for example, infrastructure, software, and data) to meet the entity’s commitments and system requirements as they relate to security, availability, and confidentiality.</t>
  </si>
  <si>
    <t>Access to data, software, functions, and other IT resources is authorized and modified or removed based on roles, responsibilities, or the system design and changes to meet the entity’s commitments and system requirements as they relate to security, availability, and confidentiality.</t>
  </si>
  <si>
    <t>Physical access to facilities housing the system (for example, data centers, backup media storage, and other sensitive locations, as well as sensitive system components within those locations) is restricted to authorized personnel to meet the entity’s commitments and system requirements as they relate to security, availability, and confidentiality.</t>
  </si>
  <si>
    <t>Logical access security measures have been implemented to protect against security, availability, and confidentiality threats from sources outside the boundaries of the system to meet the entity’s commitments and system requirements.</t>
  </si>
  <si>
    <t>The transmission, movement, and removal of information is restricted to authorized internal and external users and processes and is protected during transmission, movement, or removal, enabling the entity to meet its commitments and system requirements as they relate to security, availability, and confidentiality.</t>
  </si>
  <si>
    <t>Controls have been implemented to prevent or detect and act upon the introduction of unauthorized or malicious software to meet the entity’s commitments and system requirements as they relate to security, availability, and confidentiality.</t>
  </si>
  <si>
    <t>Security, availability, and confidentiality incidents, including logical and physical security breaches, failures, and identified vulnerabilities, are identified and reported to appropriate personnel and acted on in accordance with established incident response procedures to meet the entity’s commitments and system requirements.</t>
  </si>
  <si>
    <t>Change Management</t>
  </si>
  <si>
    <t>The entity’s commitments and system requirements, as they relate to security, availability, and confidentiality are addressed during the system development life cycle, including the authorization, design, acquisition, implementation, configuration, testing, modification, approval, and maintenance of system components.</t>
  </si>
  <si>
    <t>Infrastructure, data, software, and policies and procedures are updated as necessary to remain consistent with the entity’s commitments and system requirements as they relate to security, availability, and confidentiality.</t>
  </si>
  <si>
    <t>Change management processes are initiated when deficiencies in the design or operating effectiveness of controls are identified during system operation and are monitored to meet the entity’s commitments and system requirements as they relate to security, availability, and confidentiality.</t>
  </si>
  <si>
    <t>Changes to system components are authorized, designed, developed, configured, documented, tested, approved, and implemented to meet the entity’s security, availability, and confidentiality commitments and system requirements.</t>
  </si>
  <si>
    <t>Control Description</t>
  </si>
  <si>
    <t>Entity establishes behavioral standards which are defined in the Code of Business Conduct and makes it available to all staff members on the company intranet</t>
  </si>
  <si>
    <t>Entity requires that new employees review and acknowledge the Code of Business Conduct upon hire, and that all staff members review and acknowledge it annually.</t>
  </si>
  <si>
    <t>Entity’s Senior Management reviews and approves all company policies annually.</t>
  </si>
  <si>
    <t>Entity’s Senior Management reviews and approves the state of the Information Security program annually</t>
  </si>
  <si>
    <t>Entity’s Senior Management reviews and approves the Organizational Chart for all employees annually.</t>
  </si>
  <si>
    <t>Entity’s Senior Management reviews and approves the “Risk Assessment Report” annually.</t>
  </si>
  <si>
    <t>Entity’s Senior Management reviews and approves the “Vendor Risk Assessment Report” annually.</t>
  </si>
  <si>
    <t>Entity maintains an Organizational Structure to define authorities, facilitate information flow and establish responsibilities</t>
  </si>
  <si>
    <t>Entity ensures clarity in job responsibilities for client serving, IT and engineering positions to increase the operational effectiveness of the organisation</t>
  </si>
  <si>
    <t>Entity ensures that new hires have been duly evaluated for competence in their expected job responsibilities.</t>
  </si>
  <si>
    <t>Entity requires that new staff members complete Information Security Awareness training upon hire, and that all staff members complete Information Security Awareness training annually</t>
  </si>
  <si>
    <t>Entity requires that all staff members review and acknowledge company policies annually</t>
  </si>
  <si>
    <t>Entity displays the most current information about its services on its website, which is accessible to its customers.</t>
  </si>
  <si>
    <t>Entity requires that new staff members review and acknowledge company policies as part of their onboarding. This ensures they understand their responsibilities and are willing to comply with them.</t>
  </si>
  <si>
    <t>Entity has provided information to customers on how to report failures, incidents, concerns, or other complaints related to the services or systems provided by the Entity in the event there are problems.</t>
  </si>
  <si>
    <t>Each risk is assessed and given a risk score in relation to the likelihood of it occurring and the potential impact on the security, availability and confidentiality of the Company platform. Risks are mapped to mitigating factors that address some or all of the risk.</t>
  </si>
  <si>
    <t>Entity’s Senior Management assigns the role of Information Security Officer who is delegated the responsibility of planning, assessing, implementing and reviewing the internal control environment.</t>
  </si>
  <si>
    <t>Entity’s Senior Management segregates responsibilities and duties across the organization to mitigate risks to the services provided to its customers</t>
  </si>
  <si>
    <t>Entity has developed an Access Control policy and an accompanying process to register and authorize users prior to being issued system credentials and granted the ability to access the system.</t>
  </si>
  <si>
    <t>Entity maintains a matrix that outlines which system components should be accessible to staff members based on their role.</t>
  </si>
  <si>
    <t>Prior to issuing system credentials and granting system access, the entity registers and authorizes new internal and external users whose access is administered by the entity. For those users whose access is administered by the entity, user system credentials are removed when user access is no longer authorized.</t>
  </si>
  <si>
    <t>Staff access to Entity’s systems are made inaccessible in a timely manner as a part of the offboarding process.</t>
  </si>
  <si>
    <t>Entity identifies vulnerabilities on the Company platform through the execution of regular vulnerability scans.</t>
  </si>
  <si>
    <t>Entity’s Production assets are continuously monitored to generate alerts and take immediate action where necessary.</t>
  </si>
  <si>
    <t>The entity responds to identified security incidents by executing a defined incident response program to understand, contain, remediate, and communicate security incidents, as appropriate.</t>
  </si>
  <si>
    <t>Entity has documented Business Continuity &amp; Disaster Recovery Policies, that establish guidelines and procedures on continuing business operations in case of a disruption or a security incident.</t>
  </si>
  <si>
    <t>Entity has a documented Data Backup Policy, and makes it available for all staff on the company intranet.</t>
  </si>
  <si>
    <t>Entity has a documented Change Management Policy, which is available to all Staff Members via the company intranet</t>
  </si>
  <si>
    <t>Entity uses a change management system to track, review and log all changes to the application code.</t>
  </si>
  <si>
    <t>The entity assesses and manages risks associated with vendors and business partners</t>
  </si>
  <si>
    <t>Entity backs-up their production databases periodically.</t>
  </si>
  <si>
    <t>Entity’s data backups are restored and tested annually</t>
  </si>
  <si>
    <t>Entity has a documented Confidentiality Policy, and makes it available for all staff on the company intranet.</t>
  </si>
  <si>
    <t>Entity has a documented Data Classification Policy, and makes it available for all staff on the company intranet.</t>
  </si>
  <si>
    <t>Entity has a documented Data Retention Policy, and makes it available for all staff on the company intranet.</t>
  </si>
  <si>
    <t xml:space="preserve">Entity makes all policies and procedures available to all staff members </t>
  </si>
  <si>
    <t xml:space="preserve">Entity considers the potential for fraud when assessing risks. </t>
  </si>
  <si>
    <t>Human Resource aspects of trust services</t>
  </si>
  <si>
    <t xml:space="preserve">Risk Management </t>
  </si>
  <si>
    <t>The entity evaluates security events to determine whether they could or have resulted in a failure of the entity to meet its objectives (security incidents) and, if so, takes actions to prevent or address such failures.</t>
  </si>
  <si>
    <t xml:space="preserve">Vendor and Business Partner Risk Management </t>
  </si>
  <si>
    <t xml:space="preserve">Entity has a documented Media Disposal Policy that provides guidance on decomissioning of information assets that contain classified information </t>
  </si>
  <si>
    <t>Entity performs a formal risk assessment exercise annually, as detailed out in the Risk Management Policy, to identify threats that could impair systems’ security commitments and requirements</t>
  </si>
  <si>
    <t>Entity has a documented Risk Management Policy that describes the processes in place to identify risks to business objectives and how those risks are assessed and mitigated. The objectives incorporate Entity’s service commitments and system requirements.</t>
  </si>
  <si>
    <t>Human Resource aspects of Trust Services</t>
  </si>
  <si>
    <t>Asset Management</t>
  </si>
  <si>
    <t>Fraud Management</t>
  </si>
  <si>
    <t>Data Classification</t>
  </si>
  <si>
    <t>Vulnerability Management</t>
  </si>
  <si>
    <t>Information Security Monitoring</t>
  </si>
  <si>
    <t xml:space="preserve">Entity maintains a list of infrastructure assets </t>
  </si>
  <si>
    <t>Entity segregates production assets from its staging/development assets.</t>
  </si>
  <si>
    <t>Entity ensures that new hires go through a criminal background check as part of their onboarding process</t>
  </si>
  <si>
    <t xml:space="preserve">Information Assets Security Management Policy </t>
  </si>
  <si>
    <t>Entity has provided information to employees, via the Information Security Awareness Policy, on how to report failures, incidents, concerns, or other complaints related to the services or systems provided by the Entity in the event there are problems.</t>
  </si>
  <si>
    <t>Entity’s Information Security Office periodically reviews and approves the list of people with access to the entity’s system</t>
  </si>
  <si>
    <t>Entity’s Information Security Office periodically reviews and approves the list of people with Administative access to the entity’s system</t>
  </si>
  <si>
    <t>The entity determines mitigation strategies for those risks (including implementation of controls, assessment and monitoring of vendors and other third parties providing goods or services, as well as their activities, and other mitigation strategies)</t>
  </si>
  <si>
    <t>Information Security Events Monitoring</t>
  </si>
  <si>
    <t>Information Security Incident Management</t>
  </si>
  <si>
    <t>IT Operational Anomalies Reporting</t>
  </si>
  <si>
    <t>Trust Criteria Domain</t>
  </si>
  <si>
    <t>Trust Criteria Principle</t>
  </si>
  <si>
    <t>Asset Inventory Management</t>
  </si>
  <si>
    <t>Asset Segregation Management</t>
  </si>
  <si>
    <t>Processing Capacity</t>
  </si>
  <si>
    <t>Data Backup Operations</t>
  </si>
  <si>
    <t>Data Backup Policy</t>
  </si>
  <si>
    <t>Data Retention Policy</t>
  </si>
  <si>
    <t>Business Continuity &amp; Disaster Recovery Policy</t>
  </si>
  <si>
    <t>Data Backup Restoration</t>
  </si>
  <si>
    <t>Availability Operations</t>
  </si>
  <si>
    <t>Recovery Operations</t>
  </si>
  <si>
    <t>Change Management Authorization</t>
  </si>
  <si>
    <t>Change Management Process</t>
  </si>
  <si>
    <t>Change Management Policy</t>
  </si>
  <si>
    <t>Change Management System</t>
  </si>
  <si>
    <t>Change Management for security, availability, and confidentiality</t>
  </si>
  <si>
    <t>Change Management on the System Life Cycle</t>
  </si>
  <si>
    <t>Data Classification Policy</t>
  </si>
  <si>
    <t>Potential for Fraud</t>
  </si>
  <si>
    <t>8.10</t>
  </si>
  <si>
    <t>8.11</t>
  </si>
  <si>
    <t>14.10</t>
  </si>
  <si>
    <t>14.11</t>
  </si>
  <si>
    <t>14.12</t>
  </si>
  <si>
    <t>14.13</t>
  </si>
  <si>
    <t>14.14</t>
  </si>
  <si>
    <t>14.15</t>
  </si>
  <si>
    <t>14.16</t>
  </si>
  <si>
    <t>14.17</t>
  </si>
  <si>
    <t>16.10</t>
  </si>
  <si>
    <t>16.11</t>
  </si>
  <si>
    <t>17.10</t>
  </si>
  <si>
    <t>Information on website</t>
  </si>
  <si>
    <t>Feedback from Customers</t>
  </si>
  <si>
    <t>Communication to Personnel</t>
  </si>
  <si>
    <t>Communication to System Users</t>
  </si>
  <si>
    <t>Feedback from System Users</t>
  </si>
  <si>
    <t>System changes that affect external users’ responsibilities or the entity’s commitments and system requirements relevant to security, availability, and confidentiality are communicated to those users in a timely manner.</t>
  </si>
  <si>
    <t>Communications regarding System Changes to External Users</t>
  </si>
  <si>
    <t>The entity’s security, availability, and confidentiality commitments are communicated to internal users, as appropriate, and those commitments and the associated system requirements are communicated to internal users to enable them to carry out their responsibilities.</t>
  </si>
  <si>
    <t>Communications regarding System Changes to Internal Users</t>
  </si>
  <si>
    <t>Responsibilities of internal and external users</t>
  </si>
  <si>
    <t>Confidential Information</t>
  </si>
  <si>
    <t>Changes to the entity's confidentiality commitments</t>
  </si>
  <si>
    <t>Confidentiality commitments and system requirements by vendors and other third parties</t>
  </si>
  <si>
    <t>Protection of Confidential Information in pre-production</t>
  </si>
  <si>
    <t>Protection of Confidential Information in production</t>
  </si>
  <si>
    <t>Confidentiality Policy</t>
  </si>
  <si>
    <t>Media Disposal Policy</t>
  </si>
  <si>
    <t>Media Disposal</t>
  </si>
  <si>
    <t>Confidentiality Commitments by vendors and other third parties</t>
  </si>
  <si>
    <t>Retention of Confidential Information</t>
  </si>
  <si>
    <t>Job Responsibilities</t>
  </si>
  <si>
    <t>Criminal Background Checks</t>
  </si>
  <si>
    <t>Evaluation of Competence</t>
  </si>
  <si>
    <t>Code of Business Conduct</t>
  </si>
  <si>
    <t>Information Security Awareness Policy</t>
  </si>
  <si>
    <t>Organizational Structure</t>
  </si>
  <si>
    <t xml:space="preserve">Availability of policies and procedures to all staff members </t>
  </si>
  <si>
    <t>Review and acknowledgement of company policies annually</t>
  </si>
  <si>
    <t>Review and acknowledgement of Code of Business Conduct</t>
  </si>
  <si>
    <t xml:space="preserve">Information Security Awareness Training </t>
  </si>
  <si>
    <t>Review and acknowledgement of company policies by new hires</t>
  </si>
  <si>
    <t>Entity maintains an information assets security management policy</t>
  </si>
  <si>
    <t xml:space="preserve">Maintenance of Information Assets Security Management Policy </t>
  </si>
  <si>
    <t xml:space="preserve">Evaluation of Information Security Events </t>
  </si>
  <si>
    <t>Response to Information Security Incidents</t>
  </si>
  <si>
    <t>Information Security Monitoring of Production Assets</t>
  </si>
  <si>
    <t>Identification and reporting of security, availability, and confidentiality incidents</t>
  </si>
  <si>
    <t>Authorization and Modification of Resources</t>
  </si>
  <si>
    <t>Protection Against Malicious Software</t>
  </si>
  <si>
    <t>Access Control Policy</t>
  </si>
  <si>
    <t>Access Control Matrix</t>
  </si>
  <si>
    <t>Approval of Access Rights of People</t>
  </si>
  <si>
    <t>Approval of Access Rights of Administrators</t>
  </si>
  <si>
    <t>User Authentication</t>
  </si>
  <si>
    <t>Protection against threats from sources outside the boundaries of the system</t>
  </si>
  <si>
    <t>New User Registration</t>
  </si>
  <si>
    <t>Physical Access Control</t>
  </si>
  <si>
    <t>Prevention and detection of unauthorized access</t>
  </si>
  <si>
    <t>Logical and Physical Access Control Process</t>
  </si>
  <si>
    <t>Logical and Physical Access Control Authorization</t>
  </si>
  <si>
    <t>Logical and Physical Access Controls in the staff offboarding process</t>
  </si>
  <si>
    <t>The entity implements physical access security software, infrastructure, and architectures over protected information assets to protect them from security events to meet the entity’s objectives.</t>
  </si>
  <si>
    <t>Logical Authentication software, infrastructure, and architectures</t>
  </si>
  <si>
    <t>Physical Authentication software, infrastructure, and architectures</t>
  </si>
  <si>
    <t>Transmission, movement, and removal of information</t>
  </si>
  <si>
    <t>Periodic Evaluation of Controls</t>
  </si>
  <si>
    <t xml:space="preserve">Information Security Officer </t>
  </si>
  <si>
    <t>Annual approval of company policies</t>
  </si>
  <si>
    <t>Annual approval of risk assessment report</t>
  </si>
  <si>
    <t>Annual approval of vendor risk assessment report</t>
  </si>
  <si>
    <t>Annual approval of organizational chart</t>
  </si>
  <si>
    <t>Annual approval of information security program</t>
  </si>
  <si>
    <t>Segregation of duties</t>
  </si>
  <si>
    <t>Responsibility for system controls and risk mitigation strategies</t>
  </si>
  <si>
    <t>Organization Structure</t>
  </si>
  <si>
    <t xml:space="preserve">Competency of personnel </t>
  </si>
  <si>
    <t>Workforce Conduct</t>
  </si>
  <si>
    <t>Risks mapped to mitigating factors</t>
  </si>
  <si>
    <t>Risk Management Policy</t>
  </si>
  <si>
    <t>Entity has formally documented procedures to govern risk management.</t>
  </si>
  <si>
    <t>Risk Management Procedures</t>
  </si>
  <si>
    <t>Annual Risk Assessment</t>
  </si>
  <si>
    <t>The entity analyzes the significance of risks associated with the identified threats</t>
  </si>
  <si>
    <t>Risk Analysis</t>
  </si>
  <si>
    <t>Risk Mitigation Strategy Design</t>
  </si>
  <si>
    <t>Risk Mitigation Strategy Implementation</t>
  </si>
  <si>
    <t>The entity identifies and assesses changes (for example, environmental, regulatory, and technological changes and results of the assessment and monitoring of controls) that could significantly affect the system of internal control</t>
  </si>
  <si>
    <t>Assessment of change that could impact the system of internal controls</t>
  </si>
  <si>
    <t>Threat Assessment</t>
  </si>
  <si>
    <t>Risk Reassessment</t>
  </si>
  <si>
    <t>Assessment of risks associated with vendors and business partners</t>
  </si>
  <si>
    <t>Regular vulnerability scans.</t>
  </si>
</sst>
</file>

<file path=xl/styles.xml><?xml version="1.0" encoding="utf-8"?>
<styleSheet xmlns="http://schemas.openxmlformats.org/spreadsheetml/2006/main" xmlns:mc="http://schemas.openxmlformats.org/markup-compatibility/2006" xmlns:x14ac="http://schemas.microsoft.com/office/spreadsheetml/2009/9/ac" mc:Ignorable="x14ac">
  <fonts count="3">
    <font>
      <sz val="11"/>
      <color theme="1"/>
      <name val="Aptos Narrow"/>
      <family val="2"/>
      <scheme val="minor"/>
    </font>
    <font>
      <b/>
      <sz val="11"/>
      <color theme="1"/>
      <name val="Arial"/>
      <family val="2"/>
    </font>
    <font>
      <sz val="11"/>
      <color theme="1"/>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1" fillId="0" borderId="1" xfId="0" applyFont="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vertical="center" wrapText="1"/>
    </xf>
    <xf numFmtId="0" fontId="2" fillId="0" borderId="1" xfId="0" applyFont="1" applyBorder="1" applyAlignment="1">
      <alignment horizontal="justify" vertical="center" wrapText="1"/>
    </xf>
    <xf numFmtId="0" fontId="1" fillId="0" borderId="1" xfId="0" applyFont="1" applyBorder="1" applyAlignment="1">
      <alignment horizontal="center" vertical="top" wrapText="1"/>
    </xf>
    <xf numFmtId="0" fontId="2" fillId="0" borderId="1" xfId="0" applyFont="1" applyBorder="1" applyAlignment="1">
      <alignment horizontal="center" vertical="top" wrapText="1"/>
    </xf>
    <xf numFmtId="0" fontId="2" fillId="0" borderId="0" xfId="0" applyFont="1" applyAlignment="1">
      <alignment horizontal="center" vertical="top" wrapText="1"/>
    </xf>
    <xf numFmtId="0" fontId="2" fillId="0" borderId="1" xfId="0" quotePrefix="1"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4"/>
  <sheetViews>
    <sheetView tabSelected="1" zoomScale="120" zoomScaleNormal="120" workbookViewId="0">
      <pane ySplit="1" topLeftCell="A3" activePane="bottomLeft" state="frozen"/>
      <selection pane="bottomLeft" activeCell="E11" sqref="E11"/>
    </sheetView>
  </sheetViews>
  <sheetFormatPr defaultColWidth="9.125" defaultRowHeight="14.25"/>
  <cols>
    <col min="1" max="1" width="9.125" style="9"/>
    <col min="2" max="2" width="29.625" style="2" customWidth="1"/>
    <col min="3" max="3" width="8.875" style="9" customWidth="1"/>
    <col min="4" max="4" width="37.125" style="2" customWidth="1"/>
    <col min="5" max="5" width="7.875" style="9" customWidth="1"/>
    <col min="6" max="6" width="107.125" style="2" customWidth="1"/>
    <col min="7" max="16384" width="9.125" style="2"/>
  </cols>
  <sheetData>
    <row r="1" spans="1:6" s="1" customFormat="1" ht="15">
      <c r="A1" s="7"/>
      <c r="B1" s="3" t="s">
        <v>107</v>
      </c>
      <c r="C1" s="7"/>
      <c r="D1" s="3" t="s">
        <v>108</v>
      </c>
      <c r="E1" s="7"/>
      <c r="F1" s="3" t="s">
        <v>45</v>
      </c>
    </row>
    <row r="2" spans="1:6">
      <c r="A2" s="8">
        <v>1</v>
      </c>
      <c r="B2" s="4" t="s">
        <v>91</v>
      </c>
      <c r="C2" s="8">
        <v>1.1000000000000001</v>
      </c>
      <c r="D2" s="4" t="s">
        <v>110</v>
      </c>
      <c r="E2" s="8">
        <v>1</v>
      </c>
      <c r="F2" s="5" t="s">
        <v>97</v>
      </c>
    </row>
    <row r="3" spans="1:6">
      <c r="A3" s="8">
        <v>1</v>
      </c>
      <c r="B3" s="4" t="s">
        <v>91</v>
      </c>
      <c r="C3" s="8">
        <v>1.2</v>
      </c>
      <c r="D3" s="4" t="s">
        <v>109</v>
      </c>
      <c r="E3" s="8">
        <v>2</v>
      </c>
      <c r="F3" s="5" t="s">
        <v>96</v>
      </c>
    </row>
    <row r="4" spans="1:6" ht="28.5">
      <c r="A4" s="8">
        <v>2</v>
      </c>
      <c r="B4" s="4" t="s">
        <v>1</v>
      </c>
      <c r="C4" s="8">
        <v>2.1</v>
      </c>
      <c r="D4" s="4" t="s">
        <v>111</v>
      </c>
      <c r="E4" s="8">
        <v>3</v>
      </c>
      <c r="F4" s="4" t="s">
        <v>0</v>
      </c>
    </row>
    <row r="5" spans="1:6">
      <c r="A5" s="8">
        <v>2</v>
      </c>
      <c r="B5" s="4" t="s">
        <v>1</v>
      </c>
      <c r="C5" s="8">
        <v>2.2000000000000002</v>
      </c>
      <c r="D5" s="4" t="s">
        <v>112</v>
      </c>
      <c r="E5" s="8">
        <v>4</v>
      </c>
      <c r="F5" s="4" t="s">
        <v>76</v>
      </c>
    </row>
    <row r="6" spans="1:6">
      <c r="A6" s="8">
        <v>2</v>
      </c>
      <c r="B6" s="4" t="s">
        <v>1</v>
      </c>
      <c r="C6" s="8">
        <v>2.2999999999999998</v>
      </c>
      <c r="D6" s="4" t="s">
        <v>113</v>
      </c>
      <c r="E6" s="8">
        <v>5</v>
      </c>
      <c r="F6" s="4" t="s">
        <v>72</v>
      </c>
    </row>
    <row r="7" spans="1:6">
      <c r="A7" s="8">
        <v>2</v>
      </c>
      <c r="B7" s="4" t="s">
        <v>1</v>
      </c>
      <c r="C7" s="8">
        <v>2.4</v>
      </c>
      <c r="D7" s="4" t="s">
        <v>114</v>
      </c>
      <c r="E7" s="8">
        <v>6</v>
      </c>
      <c r="F7" s="4" t="s">
        <v>80</v>
      </c>
    </row>
    <row r="8" spans="1:6" ht="28.5">
      <c r="A8" s="8">
        <v>2</v>
      </c>
      <c r="B8" s="4" t="s">
        <v>1</v>
      </c>
      <c r="C8" s="8">
        <v>2.5</v>
      </c>
      <c r="D8" s="4" t="s">
        <v>115</v>
      </c>
      <c r="E8" s="8">
        <v>7</v>
      </c>
      <c r="F8" s="5" t="s">
        <v>71</v>
      </c>
    </row>
    <row r="9" spans="1:6">
      <c r="A9" s="8">
        <v>2</v>
      </c>
      <c r="B9" s="4" t="s">
        <v>1</v>
      </c>
      <c r="C9" s="8">
        <v>2.6</v>
      </c>
      <c r="D9" s="4" t="s">
        <v>116</v>
      </c>
      <c r="E9" s="8">
        <v>8</v>
      </c>
      <c r="F9" s="4" t="s">
        <v>77</v>
      </c>
    </row>
    <row r="10" spans="1:6" ht="42.75">
      <c r="A10" s="8">
        <v>2</v>
      </c>
      <c r="B10" s="4" t="s">
        <v>1</v>
      </c>
      <c r="C10" s="8">
        <v>2.7</v>
      </c>
      <c r="D10" s="4" t="s">
        <v>117</v>
      </c>
      <c r="E10" s="8">
        <v>9</v>
      </c>
      <c r="F10" s="4" t="s">
        <v>2</v>
      </c>
    </row>
    <row r="11" spans="1:6" ht="28.5">
      <c r="A11" s="8">
        <v>2</v>
      </c>
      <c r="B11" s="4" t="s">
        <v>1</v>
      </c>
      <c r="C11" s="8">
        <v>2.8</v>
      </c>
      <c r="D11" s="4" t="s">
        <v>118</v>
      </c>
      <c r="E11" s="8">
        <v>10</v>
      </c>
      <c r="F11" s="4" t="s">
        <v>3</v>
      </c>
    </row>
    <row r="12" spans="1:6" ht="42.75">
      <c r="A12" s="8">
        <v>3</v>
      </c>
      <c r="B12" s="4" t="s">
        <v>40</v>
      </c>
      <c r="C12" s="8">
        <v>3.1</v>
      </c>
      <c r="D12" s="4" t="s">
        <v>120</v>
      </c>
      <c r="E12" s="8">
        <v>11</v>
      </c>
      <c r="F12" s="4" t="s">
        <v>43</v>
      </c>
    </row>
    <row r="13" spans="1:6" ht="28.5">
      <c r="A13" s="8">
        <v>3</v>
      </c>
      <c r="B13" s="4" t="s">
        <v>40</v>
      </c>
      <c r="C13" s="8">
        <v>3.2</v>
      </c>
      <c r="D13" s="4" t="s">
        <v>119</v>
      </c>
      <c r="E13" s="8">
        <v>12</v>
      </c>
      <c r="F13" s="4" t="s">
        <v>44</v>
      </c>
    </row>
    <row r="14" spans="1:6">
      <c r="A14" s="8">
        <v>3</v>
      </c>
      <c r="B14" s="4" t="s">
        <v>40</v>
      </c>
      <c r="C14" s="8">
        <f t="shared" ref="C14:C35" si="0">C13+0.1</f>
        <v>3.3000000000000003</v>
      </c>
      <c r="D14" s="4" t="s">
        <v>121</v>
      </c>
      <c r="E14" s="8">
        <f t="shared" ref="E4:E67" si="1">E13+1</f>
        <v>13</v>
      </c>
      <c r="F14" s="5" t="s">
        <v>73</v>
      </c>
    </row>
    <row r="15" spans="1:6">
      <c r="A15" s="8">
        <v>3</v>
      </c>
      <c r="B15" s="4" t="s">
        <v>40</v>
      </c>
      <c r="C15" s="8">
        <f t="shared" si="0"/>
        <v>3.4000000000000004</v>
      </c>
      <c r="D15" s="4" t="s">
        <v>122</v>
      </c>
      <c r="E15" s="8">
        <f t="shared" si="1"/>
        <v>14</v>
      </c>
      <c r="F15" s="5" t="s">
        <v>74</v>
      </c>
    </row>
    <row r="16" spans="1:6" ht="28.5">
      <c r="A16" s="8">
        <v>3</v>
      </c>
      <c r="B16" s="4" t="s">
        <v>40</v>
      </c>
      <c r="C16" s="8">
        <f t="shared" si="0"/>
        <v>3.5000000000000004</v>
      </c>
      <c r="D16" s="4" t="s">
        <v>123</v>
      </c>
      <c r="E16" s="8">
        <f t="shared" si="1"/>
        <v>15</v>
      </c>
      <c r="F16" s="4" t="s">
        <v>42</v>
      </c>
    </row>
    <row r="17" spans="1:6" ht="42.75">
      <c r="A17" s="8">
        <v>3</v>
      </c>
      <c r="B17" s="4" t="s">
        <v>40</v>
      </c>
      <c r="C17" s="8">
        <f t="shared" si="0"/>
        <v>3.6000000000000005</v>
      </c>
      <c r="D17" s="4" t="s">
        <v>124</v>
      </c>
      <c r="E17" s="8">
        <f t="shared" si="1"/>
        <v>16</v>
      </c>
      <c r="F17" s="4" t="s">
        <v>41</v>
      </c>
    </row>
    <row r="18" spans="1:6">
      <c r="A18" s="8">
        <v>4</v>
      </c>
      <c r="B18" s="4" t="s">
        <v>18</v>
      </c>
      <c r="C18" s="8">
        <v>4.0999999999999996</v>
      </c>
      <c r="D18" s="4" t="s">
        <v>140</v>
      </c>
      <c r="E18" s="8">
        <f t="shared" si="1"/>
        <v>17</v>
      </c>
      <c r="F18" s="4" t="s">
        <v>58</v>
      </c>
    </row>
    <row r="19" spans="1:6" ht="28.5">
      <c r="A19" s="8">
        <v>4</v>
      </c>
      <c r="B19" s="4" t="s">
        <v>18</v>
      </c>
      <c r="C19" s="8">
        <f t="shared" si="0"/>
        <v>4.1999999999999993</v>
      </c>
      <c r="D19" s="4" t="s">
        <v>141</v>
      </c>
      <c r="E19" s="8">
        <f t="shared" si="1"/>
        <v>18</v>
      </c>
      <c r="F19" s="4" t="s">
        <v>60</v>
      </c>
    </row>
    <row r="20" spans="1:6" ht="28.5">
      <c r="A20" s="8">
        <v>4</v>
      </c>
      <c r="B20" s="4" t="s">
        <v>18</v>
      </c>
      <c r="C20" s="8">
        <f t="shared" si="0"/>
        <v>4.2999999999999989</v>
      </c>
      <c r="D20" s="4" t="s">
        <v>142</v>
      </c>
      <c r="E20" s="8">
        <f t="shared" si="1"/>
        <v>19</v>
      </c>
      <c r="F20" s="4" t="s">
        <v>21</v>
      </c>
    </row>
    <row r="21" spans="1:6" ht="42.75">
      <c r="A21" s="8">
        <v>4</v>
      </c>
      <c r="B21" s="4" t="s">
        <v>18</v>
      </c>
      <c r="C21" s="8">
        <f t="shared" si="0"/>
        <v>4.3999999999999986</v>
      </c>
      <c r="D21" s="4" t="s">
        <v>143</v>
      </c>
      <c r="E21" s="8">
        <f t="shared" si="1"/>
        <v>20</v>
      </c>
      <c r="F21" s="4" t="s">
        <v>19</v>
      </c>
    </row>
    <row r="22" spans="1:6" ht="28.5">
      <c r="A22" s="8">
        <v>4</v>
      </c>
      <c r="B22" s="4" t="s">
        <v>18</v>
      </c>
      <c r="C22" s="8">
        <f t="shared" si="0"/>
        <v>4.4999999999999982</v>
      </c>
      <c r="D22" s="4" t="s">
        <v>144</v>
      </c>
      <c r="E22" s="8">
        <f t="shared" si="1"/>
        <v>21</v>
      </c>
      <c r="F22" s="4" t="s">
        <v>22</v>
      </c>
    </row>
    <row r="23" spans="1:6" ht="28.5">
      <c r="A23" s="8">
        <v>4</v>
      </c>
      <c r="B23" s="4" t="s">
        <v>18</v>
      </c>
      <c r="C23" s="8">
        <f t="shared" si="0"/>
        <v>4.5999999999999979</v>
      </c>
      <c r="D23" s="4" t="s">
        <v>146</v>
      </c>
      <c r="E23" s="8">
        <f t="shared" si="1"/>
        <v>22</v>
      </c>
      <c r="F23" s="4" t="s">
        <v>145</v>
      </c>
    </row>
    <row r="24" spans="1:6" ht="42.75">
      <c r="A24" s="8">
        <v>4</v>
      </c>
      <c r="B24" s="4" t="s">
        <v>18</v>
      </c>
      <c r="C24" s="8">
        <f t="shared" si="0"/>
        <v>4.6999999999999975</v>
      </c>
      <c r="D24" s="4" t="s">
        <v>148</v>
      </c>
      <c r="E24" s="8">
        <f t="shared" si="1"/>
        <v>23</v>
      </c>
      <c r="F24" s="4" t="s">
        <v>147</v>
      </c>
    </row>
    <row r="25" spans="1:6" ht="28.5">
      <c r="A25" s="8">
        <v>4</v>
      </c>
      <c r="B25" s="4" t="s">
        <v>18</v>
      </c>
      <c r="C25" s="8">
        <f t="shared" si="0"/>
        <v>4.7999999999999972</v>
      </c>
      <c r="D25" s="4" t="s">
        <v>149</v>
      </c>
      <c r="E25" s="8">
        <f t="shared" si="1"/>
        <v>24</v>
      </c>
      <c r="F25" s="4" t="s">
        <v>20</v>
      </c>
    </row>
    <row r="26" spans="1:6" ht="28.5">
      <c r="A26" s="8">
        <v>5</v>
      </c>
      <c r="B26" s="4" t="s">
        <v>5</v>
      </c>
      <c r="C26" s="8">
        <v>5</v>
      </c>
      <c r="D26" s="4" t="s">
        <v>150</v>
      </c>
      <c r="E26" s="8">
        <f t="shared" si="1"/>
        <v>25</v>
      </c>
      <c r="F26" s="4" t="s">
        <v>7</v>
      </c>
    </row>
    <row r="27" spans="1:6" ht="28.5">
      <c r="A27" s="8">
        <v>5</v>
      </c>
      <c r="B27" s="4" t="s">
        <v>5</v>
      </c>
      <c r="C27" s="8">
        <f t="shared" si="0"/>
        <v>5.0999999999999996</v>
      </c>
      <c r="D27" s="4" t="s">
        <v>151</v>
      </c>
      <c r="E27" s="8">
        <f t="shared" si="1"/>
        <v>26</v>
      </c>
      <c r="F27" s="4" t="s">
        <v>10</v>
      </c>
    </row>
    <row r="28" spans="1:6" ht="42.75">
      <c r="A28" s="8">
        <v>5</v>
      </c>
      <c r="B28" s="4" t="s">
        <v>5</v>
      </c>
      <c r="C28" s="8">
        <f t="shared" si="0"/>
        <v>5.1999999999999993</v>
      </c>
      <c r="D28" s="4" t="s">
        <v>152</v>
      </c>
      <c r="E28" s="8">
        <f t="shared" si="1"/>
        <v>27</v>
      </c>
      <c r="F28" s="4" t="s">
        <v>9</v>
      </c>
    </row>
    <row r="29" spans="1:6" ht="28.5">
      <c r="A29" s="8">
        <v>5</v>
      </c>
      <c r="B29" s="4" t="s">
        <v>5</v>
      </c>
      <c r="C29" s="8">
        <f t="shared" si="0"/>
        <v>5.2999999999999989</v>
      </c>
      <c r="D29" s="4" t="s">
        <v>153</v>
      </c>
      <c r="E29" s="8">
        <f t="shared" si="1"/>
        <v>28</v>
      </c>
      <c r="F29" s="4" t="s">
        <v>4</v>
      </c>
    </row>
    <row r="30" spans="1:6" ht="42.75">
      <c r="A30" s="8">
        <v>5</v>
      </c>
      <c r="B30" s="4" t="s">
        <v>5</v>
      </c>
      <c r="C30" s="8">
        <f t="shared" si="0"/>
        <v>5.3999999999999986</v>
      </c>
      <c r="D30" s="4" t="s">
        <v>154</v>
      </c>
      <c r="E30" s="8">
        <f t="shared" si="1"/>
        <v>29</v>
      </c>
      <c r="F30" s="4" t="s">
        <v>6</v>
      </c>
    </row>
    <row r="31" spans="1:6">
      <c r="A31" s="8">
        <v>5</v>
      </c>
      <c r="B31" s="4" t="s">
        <v>5</v>
      </c>
      <c r="C31" s="8">
        <f t="shared" si="0"/>
        <v>5.4999999999999982</v>
      </c>
      <c r="D31" s="4" t="s">
        <v>155</v>
      </c>
      <c r="E31" s="8">
        <f t="shared" si="1"/>
        <v>30</v>
      </c>
      <c r="F31" s="5" t="s">
        <v>78</v>
      </c>
    </row>
    <row r="32" spans="1:6" ht="28.5">
      <c r="A32" s="8">
        <v>5</v>
      </c>
      <c r="B32" s="4" t="s">
        <v>5</v>
      </c>
      <c r="C32" s="8">
        <f t="shared" si="0"/>
        <v>5.5999999999999979</v>
      </c>
      <c r="D32" s="4" t="s">
        <v>156</v>
      </c>
      <c r="E32" s="8">
        <f t="shared" si="1"/>
        <v>31</v>
      </c>
      <c r="F32" s="4" t="s">
        <v>87</v>
      </c>
    </row>
    <row r="33" spans="1:6">
      <c r="A33" s="8">
        <v>5</v>
      </c>
      <c r="B33" s="4" t="s">
        <v>5</v>
      </c>
      <c r="C33" s="8">
        <f t="shared" si="0"/>
        <v>5.6999999999999975</v>
      </c>
      <c r="D33" s="4" t="s">
        <v>157</v>
      </c>
      <c r="E33" s="8">
        <f t="shared" si="1"/>
        <v>32</v>
      </c>
      <c r="F33" s="4" t="s">
        <v>12</v>
      </c>
    </row>
    <row r="34" spans="1:6" ht="28.5">
      <c r="A34" s="8">
        <v>5</v>
      </c>
      <c r="B34" s="4" t="s">
        <v>5</v>
      </c>
      <c r="C34" s="8">
        <f t="shared" si="0"/>
        <v>5.7999999999999972</v>
      </c>
      <c r="D34" s="4" t="s">
        <v>158</v>
      </c>
      <c r="E34" s="8">
        <f t="shared" si="1"/>
        <v>33</v>
      </c>
      <c r="F34" s="4" t="s">
        <v>8</v>
      </c>
    </row>
    <row r="35" spans="1:6">
      <c r="A35" s="8">
        <v>5</v>
      </c>
      <c r="B35" s="4" t="s">
        <v>5</v>
      </c>
      <c r="C35" s="8">
        <f t="shared" si="0"/>
        <v>5.8999999999999968</v>
      </c>
      <c r="D35" s="4" t="s">
        <v>159</v>
      </c>
      <c r="E35" s="8">
        <f t="shared" si="1"/>
        <v>34</v>
      </c>
      <c r="F35" s="4" t="s">
        <v>11</v>
      </c>
    </row>
    <row r="36" spans="1:6">
      <c r="A36" s="8">
        <v>6</v>
      </c>
      <c r="B36" s="4" t="s">
        <v>93</v>
      </c>
      <c r="C36" s="8">
        <v>6.1</v>
      </c>
      <c r="D36" s="4" t="s">
        <v>125</v>
      </c>
      <c r="E36" s="8">
        <f t="shared" si="1"/>
        <v>35</v>
      </c>
      <c r="F36" s="5" t="s">
        <v>79</v>
      </c>
    </row>
    <row r="37" spans="1:6">
      <c r="A37" s="8">
        <v>7</v>
      </c>
      <c r="B37" s="4" t="s">
        <v>92</v>
      </c>
      <c r="C37" s="8">
        <f t="shared" ref="A36:C53" si="2">C36+1</f>
        <v>7.1</v>
      </c>
      <c r="D37" s="4" t="s">
        <v>126</v>
      </c>
      <c r="E37" s="8">
        <f t="shared" si="1"/>
        <v>36</v>
      </c>
      <c r="F37" s="4" t="s">
        <v>82</v>
      </c>
    </row>
    <row r="38" spans="1:6" ht="28.5">
      <c r="A38" s="8">
        <v>8</v>
      </c>
      <c r="B38" s="4" t="s">
        <v>90</v>
      </c>
      <c r="C38" s="8">
        <v>8.1</v>
      </c>
      <c r="D38" s="4" t="s">
        <v>160</v>
      </c>
      <c r="E38" s="8">
        <f t="shared" si="1"/>
        <v>37</v>
      </c>
      <c r="F38" s="4" t="s">
        <v>54</v>
      </c>
    </row>
    <row r="39" spans="1:6" ht="28.5">
      <c r="A39" s="8">
        <v>8</v>
      </c>
      <c r="B39" s="4" t="s">
        <v>90</v>
      </c>
      <c r="C39" s="8">
        <f t="shared" ref="C39:C45" si="3">C38+0.1</f>
        <v>8.1999999999999993</v>
      </c>
      <c r="D39" s="4" t="s">
        <v>161</v>
      </c>
      <c r="E39" s="8">
        <f t="shared" si="1"/>
        <v>38</v>
      </c>
      <c r="F39" s="4" t="s">
        <v>98</v>
      </c>
    </row>
    <row r="40" spans="1:6" ht="28.5">
      <c r="A40" s="8">
        <v>8</v>
      </c>
      <c r="B40" s="4" t="s">
        <v>90</v>
      </c>
      <c r="C40" s="8">
        <f t="shared" si="3"/>
        <v>8.2999999999999989</v>
      </c>
      <c r="D40" s="4" t="s">
        <v>162</v>
      </c>
      <c r="E40" s="8">
        <f t="shared" si="1"/>
        <v>39</v>
      </c>
      <c r="F40" s="4" t="s">
        <v>55</v>
      </c>
    </row>
    <row r="41" spans="1:6" ht="28.5">
      <c r="A41" s="8">
        <v>8</v>
      </c>
      <c r="B41" s="4" t="s">
        <v>90</v>
      </c>
      <c r="C41" s="8">
        <f t="shared" si="3"/>
        <v>8.3999999999999986</v>
      </c>
      <c r="D41" s="4" t="s">
        <v>163</v>
      </c>
      <c r="E41" s="8">
        <f t="shared" si="1"/>
        <v>40</v>
      </c>
      <c r="F41" s="4" t="s">
        <v>46</v>
      </c>
    </row>
    <row r="42" spans="1:6" ht="28.5">
      <c r="A42" s="8">
        <v>8</v>
      </c>
      <c r="B42" s="4" t="s">
        <v>90</v>
      </c>
      <c r="C42" s="8">
        <f t="shared" si="3"/>
        <v>8.4999999999999982</v>
      </c>
      <c r="D42" s="4" t="s">
        <v>164</v>
      </c>
      <c r="E42" s="8">
        <f t="shared" si="1"/>
        <v>41</v>
      </c>
      <c r="F42" s="4" t="s">
        <v>100</v>
      </c>
    </row>
    <row r="43" spans="1:6" ht="28.5">
      <c r="A43" s="8">
        <v>8</v>
      </c>
      <c r="B43" s="4" t="s">
        <v>90</v>
      </c>
      <c r="C43" s="8">
        <f t="shared" si="3"/>
        <v>8.5999999999999979</v>
      </c>
      <c r="D43" s="4" t="s">
        <v>165</v>
      </c>
      <c r="E43" s="8">
        <f t="shared" si="1"/>
        <v>42</v>
      </c>
      <c r="F43" s="4" t="s">
        <v>53</v>
      </c>
    </row>
    <row r="44" spans="1:6" ht="28.5">
      <c r="A44" s="8">
        <v>8</v>
      </c>
      <c r="B44" s="4" t="s">
        <v>90</v>
      </c>
      <c r="C44" s="8">
        <f t="shared" si="3"/>
        <v>8.6999999999999975</v>
      </c>
      <c r="D44" s="4" t="s">
        <v>166</v>
      </c>
      <c r="E44" s="8">
        <f t="shared" si="1"/>
        <v>43</v>
      </c>
      <c r="F44" s="4" t="s">
        <v>81</v>
      </c>
    </row>
    <row r="45" spans="1:6" ht="28.5">
      <c r="A45" s="8">
        <v>8</v>
      </c>
      <c r="B45" s="4" t="s">
        <v>90</v>
      </c>
      <c r="C45" s="8">
        <f t="shared" si="3"/>
        <v>8.7999999999999972</v>
      </c>
      <c r="D45" s="4" t="s">
        <v>167</v>
      </c>
      <c r="E45" s="8">
        <f t="shared" si="1"/>
        <v>44</v>
      </c>
      <c r="F45" s="5" t="s">
        <v>57</v>
      </c>
    </row>
    <row r="46" spans="1:6" ht="28.5">
      <c r="A46" s="8">
        <v>8</v>
      </c>
      <c r="B46" s="4" t="s">
        <v>83</v>
      </c>
      <c r="C46" s="8">
        <f>C45+0.1</f>
        <v>8.8999999999999968</v>
      </c>
      <c r="D46" s="4" t="s">
        <v>168</v>
      </c>
      <c r="E46" s="8">
        <f t="shared" si="1"/>
        <v>45</v>
      </c>
      <c r="F46" s="4" t="s">
        <v>47</v>
      </c>
    </row>
    <row r="47" spans="1:6" ht="28.5">
      <c r="A47" s="8">
        <v>8</v>
      </c>
      <c r="B47" s="4" t="s">
        <v>90</v>
      </c>
      <c r="C47" s="10" t="s">
        <v>127</v>
      </c>
      <c r="D47" s="4" t="s">
        <v>169</v>
      </c>
      <c r="E47" s="8">
        <f t="shared" si="1"/>
        <v>46</v>
      </c>
      <c r="F47" s="4" t="s">
        <v>56</v>
      </c>
    </row>
    <row r="48" spans="1:6" ht="28.5">
      <c r="A48" s="8">
        <v>8</v>
      </c>
      <c r="B48" s="4" t="s">
        <v>90</v>
      </c>
      <c r="C48" s="10" t="s">
        <v>128</v>
      </c>
      <c r="D48" s="4" t="s">
        <v>170</v>
      </c>
      <c r="E48" s="8">
        <f t="shared" si="1"/>
        <v>47</v>
      </c>
      <c r="F48" s="4" t="s">
        <v>59</v>
      </c>
    </row>
    <row r="49" spans="1:6" ht="28.5">
      <c r="A49" s="8">
        <v>9</v>
      </c>
      <c r="B49" s="4" t="s">
        <v>99</v>
      </c>
      <c r="C49" s="8">
        <v>9.1</v>
      </c>
      <c r="D49" s="4" t="s">
        <v>172</v>
      </c>
      <c r="E49" s="8">
        <f t="shared" si="1"/>
        <v>48</v>
      </c>
      <c r="F49" s="5" t="s">
        <v>171</v>
      </c>
    </row>
    <row r="50" spans="1:6" ht="28.5">
      <c r="A50" s="8">
        <v>10</v>
      </c>
      <c r="B50" s="4" t="s">
        <v>104</v>
      </c>
      <c r="C50" s="8">
        <f t="shared" si="2"/>
        <v>10.1</v>
      </c>
      <c r="D50" s="4" t="s">
        <v>173</v>
      </c>
      <c r="E50" s="8">
        <f t="shared" si="1"/>
        <v>49</v>
      </c>
      <c r="F50" s="4" t="s">
        <v>85</v>
      </c>
    </row>
    <row r="51" spans="1:6" ht="28.5">
      <c r="A51" s="8">
        <v>11</v>
      </c>
      <c r="B51" s="4" t="s">
        <v>105</v>
      </c>
      <c r="C51" s="8">
        <f t="shared" si="2"/>
        <v>11.1</v>
      </c>
      <c r="D51" s="4" t="s">
        <v>174</v>
      </c>
      <c r="E51" s="8">
        <f t="shared" si="1"/>
        <v>50</v>
      </c>
      <c r="F51" s="4" t="s">
        <v>70</v>
      </c>
    </row>
    <row r="52" spans="1:6" ht="28.5">
      <c r="A52" s="8">
        <v>12</v>
      </c>
      <c r="B52" s="4" t="s">
        <v>95</v>
      </c>
      <c r="C52" s="8">
        <f t="shared" si="2"/>
        <v>12.1</v>
      </c>
      <c r="D52" s="4" t="s">
        <v>175</v>
      </c>
      <c r="E52" s="8">
        <f t="shared" si="1"/>
        <v>51</v>
      </c>
      <c r="F52" s="4" t="s">
        <v>69</v>
      </c>
    </row>
    <row r="53" spans="1:6" ht="42.75">
      <c r="A53" s="8">
        <v>13</v>
      </c>
      <c r="B53" s="4" t="s">
        <v>106</v>
      </c>
      <c r="C53" s="8">
        <f t="shared" si="2"/>
        <v>13.1</v>
      </c>
      <c r="D53" s="4" t="s">
        <v>176</v>
      </c>
      <c r="E53" s="8">
        <f t="shared" si="1"/>
        <v>52</v>
      </c>
      <c r="F53" s="4" t="s">
        <v>39</v>
      </c>
    </row>
    <row r="54" spans="1:6" ht="42.75">
      <c r="A54" s="8">
        <v>14</v>
      </c>
      <c r="B54" s="4" t="s">
        <v>28</v>
      </c>
      <c r="C54" s="8">
        <v>14.1</v>
      </c>
      <c r="D54" s="4" t="s">
        <v>177</v>
      </c>
      <c r="E54" s="8">
        <f t="shared" si="1"/>
        <v>53</v>
      </c>
      <c r="F54" s="4" t="s">
        <v>34</v>
      </c>
    </row>
    <row r="55" spans="1:6" ht="28.5">
      <c r="A55" s="8">
        <v>14</v>
      </c>
      <c r="B55" s="4" t="s">
        <v>28</v>
      </c>
      <c r="C55" s="8">
        <f t="shared" ref="C55:C62" si="4">C54+0.1</f>
        <v>14.2</v>
      </c>
      <c r="D55" s="4" t="s">
        <v>178</v>
      </c>
      <c r="E55" s="8">
        <f t="shared" si="1"/>
        <v>54</v>
      </c>
      <c r="F55" s="4" t="s">
        <v>38</v>
      </c>
    </row>
    <row r="56" spans="1:6" ht="28.5">
      <c r="A56" s="8">
        <v>14</v>
      </c>
      <c r="B56" s="4" t="s">
        <v>28</v>
      </c>
      <c r="C56" s="8">
        <f t="shared" si="4"/>
        <v>14.299999999999999</v>
      </c>
      <c r="D56" s="4" t="s">
        <v>179</v>
      </c>
      <c r="E56" s="8">
        <f t="shared" si="1"/>
        <v>55</v>
      </c>
      <c r="F56" s="4" t="s">
        <v>64</v>
      </c>
    </row>
    <row r="57" spans="1:6" ht="28.5">
      <c r="A57" s="8">
        <v>14</v>
      </c>
      <c r="B57" s="4" t="s">
        <v>28</v>
      </c>
      <c r="C57" s="8">
        <f t="shared" si="4"/>
        <v>14.399999999999999</v>
      </c>
      <c r="D57" s="4" t="s">
        <v>180</v>
      </c>
      <c r="E57" s="8">
        <f t="shared" si="1"/>
        <v>56</v>
      </c>
      <c r="F57" s="5" t="s">
        <v>65</v>
      </c>
    </row>
    <row r="58" spans="1:6" ht="28.5">
      <c r="A58" s="8">
        <v>14</v>
      </c>
      <c r="B58" s="4" t="s">
        <v>28</v>
      </c>
      <c r="C58" s="8">
        <f t="shared" si="4"/>
        <v>14.499999999999998</v>
      </c>
      <c r="D58" s="4" t="s">
        <v>181</v>
      </c>
      <c r="E58" s="8">
        <f t="shared" si="1"/>
        <v>57</v>
      </c>
      <c r="F58" s="6" t="s">
        <v>101</v>
      </c>
    </row>
    <row r="59" spans="1:6" ht="28.5">
      <c r="A59" s="8">
        <v>14</v>
      </c>
      <c r="B59" s="4" t="s">
        <v>28</v>
      </c>
      <c r="C59" s="8">
        <f t="shared" si="4"/>
        <v>14.599999999999998</v>
      </c>
      <c r="D59" s="4" t="s">
        <v>182</v>
      </c>
      <c r="E59" s="8">
        <f t="shared" si="1"/>
        <v>58</v>
      </c>
      <c r="F59" s="5" t="s">
        <v>102</v>
      </c>
    </row>
    <row r="60" spans="1:6" ht="42.75">
      <c r="A60" s="8">
        <v>14</v>
      </c>
      <c r="B60" s="4" t="s">
        <v>28</v>
      </c>
      <c r="C60" s="8">
        <f t="shared" si="4"/>
        <v>14.699999999999998</v>
      </c>
      <c r="D60" s="4" t="s">
        <v>183</v>
      </c>
      <c r="E60" s="8">
        <f t="shared" si="1"/>
        <v>59</v>
      </c>
      <c r="F60" s="4" t="s">
        <v>33</v>
      </c>
    </row>
    <row r="61" spans="1:6" ht="28.5">
      <c r="A61" s="8">
        <v>14</v>
      </c>
      <c r="B61" s="4" t="s">
        <v>28</v>
      </c>
      <c r="C61" s="8">
        <f t="shared" si="4"/>
        <v>14.799999999999997</v>
      </c>
      <c r="D61" s="4" t="s">
        <v>184</v>
      </c>
      <c r="E61" s="8">
        <f t="shared" si="1"/>
        <v>60</v>
      </c>
      <c r="F61" s="4" t="s">
        <v>36</v>
      </c>
    </row>
    <row r="62" spans="1:6" ht="28.5">
      <c r="A62" s="8">
        <v>14</v>
      </c>
      <c r="B62" s="4" t="s">
        <v>28</v>
      </c>
      <c r="C62" s="8">
        <f t="shared" si="4"/>
        <v>14.899999999999997</v>
      </c>
      <c r="D62" s="4" t="s">
        <v>192</v>
      </c>
      <c r="E62" s="8">
        <f t="shared" si="1"/>
        <v>61</v>
      </c>
      <c r="F62" s="4" t="s">
        <v>29</v>
      </c>
    </row>
    <row r="63" spans="1:6" ht="57">
      <c r="A63" s="8">
        <v>14</v>
      </c>
      <c r="B63" s="4" t="s">
        <v>28</v>
      </c>
      <c r="C63" s="10" t="s">
        <v>129</v>
      </c>
      <c r="D63" s="4" t="s">
        <v>185</v>
      </c>
      <c r="E63" s="8">
        <f t="shared" si="1"/>
        <v>62</v>
      </c>
      <c r="F63" s="4" t="s">
        <v>32</v>
      </c>
    </row>
    <row r="64" spans="1:6" ht="42.75">
      <c r="A64" s="8">
        <v>14</v>
      </c>
      <c r="B64" s="4" t="s">
        <v>28</v>
      </c>
      <c r="C64" s="10" t="s">
        <v>130</v>
      </c>
      <c r="D64" s="4" t="s">
        <v>186</v>
      </c>
      <c r="E64" s="8">
        <f t="shared" si="1"/>
        <v>63</v>
      </c>
      <c r="F64" s="4" t="s">
        <v>35</v>
      </c>
    </row>
    <row r="65" spans="1:6" ht="28.5">
      <c r="A65" s="8">
        <v>14</v>
      </c>
      <c r="B65" s="4" t="s">
        <v>28</v>
      </c>
      <c r="C65" s="10" t="s">
        <v>131</v>
      </c>
      <c r="D65" s="4" t="s">
        <v>187</v>
      </c>
      <c r="E65" s="8">
        <f t="shared" si="1"/>
        <v>64</v>
      </c>
      <c r="F65" s="4" t="s">
        <v>31</v>
      </c>
    </row>
    <row r="66" spans="1:6" ht="42.75">
      <c r="A66" s="8">
        <v>14</v>
      </c>
      <c r="B66" s="4" t="s">
        <v>28</v>
      </c>
      <c r="C66" s="10" t="s">
        <v>132</v>
      </c>
      <c r="D66" s="4" t="s">
        <v>188</v>
      </c>
      <c r="E66" s="8">
        <f t="shared" si="1"/>
        <v>65</v>
      </c>
      <c r="F66" s="4" t="s">
        <v>66</v>
      </c>
    </row>
    <row r="67" spans="1:6" ht="28.5">
      <c r="A67" s="8">
        <v>14</v>
      </c>
      <c r="B67" s="4" t="s">
        <v>28</v>
      </c>
      <c r="C67" s="10" t="s">
        <v>133</v>
      </c>
      <c r="D67" s="4" t="s">
        <v>189</v>
      </c>
      <c r="E67" s="8">
        <f t="shared" si="1"/>
        <v>66</v>
      </c>
      <c r="F67" s="4" t="s">
        <v>30</v>
      </c>
    </row>
    <row r="68" spans="1:6" ht="28.5">
      <c r="A68" s="8">
        <v>14</v>
      </c>
      <c r="B68" s="4" t="s">
        <v>28</v>
      </c>
      <c r="C68" s="10" t="s">
        <v>134</v>
      </c>
      <c r="D68" s="4" t="s">
        <v>190</v>
      </c>
      <c r="E68" s="8">
        <f t="shared" ref="E68:E94" si="5">E67+1</f>
        <v>67</v>
      </c>
      <c r="F68" s="5" t="s">
        <v>67</v>
      </c>
    </row>
    <row r="69" spans="1:6" ht="28.5">
      <c r="A69" s="8">
        <v>14</v>
      </c>
      <c r="B69" s="4" t="s">
        <v>28</v>
      </c>
      <c r="C69" s="10" t="s">
        <v>135</v>
      </c>
      <c r="D69" s="4" t="s">
        <v>193</v>
      </c>
      <c r="E69" s="8">
        <f t="shared" si="5"/>
        <v>68</v>
      </c>
      <c r="F69" s="4" t="s">
        <v>191</v>
      </c>
    </row>
    <row r="70" spans="1:6" ht="42.75">
      <c r="A70" s="8">
        <v>14</v>
      </c>
      <c r="B70" s="4" t="s">
        <v>28</v>
      </c>
      <c r="C70" s="10" t="s">
        <v>136</v>
      </c>
      <c r="D70" s="4" t="s">
        <v>194</v>
      </c>
      <c r="E70" s="8">
        <f t="shared" si="5"/>
        <v>69</v>
      </c>
      <c r="F70" s="4" t="s">
        <v>37</v>
      </c>
    </row>
    <row r="71" spans="1:6" ht="42.75">
      <c r="A71" s="8">
        <v>15</v>
      </c>
      <c r="B71" s="4" t="s">
        <v>26</v>
      </c>
      <c r="C71" s="8">
        <v>15.1</v>
      </c>
      <c r="D71" s="4" t="s">
        <v>195</v>
      </c>
      <c r="E71" s="8">
        <f t="shared" si="5"/>
        <v>70</v>
      </c>
      <c r="F71" s="4" t="s">
        <v>27</v>
      </c>
    </row>
    <row r="72" spans="1:6" ht="28.5">
      <c r="A72" s="8">
        <v>16</v>
      </c>
      <c r="B72" s="4" t="s">
        <v>13</v>
      </c>
      <c r="C72" s="8">
        <v>16.100000000000001</v>
      </c>
      <c r="D72" s="4" t="s">
        <v>196</v>
      </c>
      <c r="E72" s="8">
        <f t="shared" si="5"/>
        <v>71</v>
      </c>
      <c r="F72" s="4" t="s">
        <v>62</v>
      </c>
    </row>
    <row r="73" spans="1:6">
      <c r="A73" s="8">
        <v>16</v>
      </c>
      <c r="B73" s="4" t="s">
        <v>13</v>
      </c>
      <c r="C73" s="8">
        <f>C72+0.1</f>
        <v>16.200000000000003</v>
      </c>
      <c r="D73" s="4" t="s">
        <v>197</v>
      </c>
      <c r="E73" s="8">
        <f t="shared" si="5"/>
        <v>72</v>
      </c>
      <c r="F73" s="4" t="s">
        <v>48</v>
      </c>
    </row>
    <row r="74" spans="1:6">
      <c r="A74" s="8">
        <v>16</v>
      </c>
      <c r="B74" s="4" t="s">
        <v>13</v>
      </c>
      <c r="C74" s="8">
        <f t="shared" ref="C74:C80" si="6">C73+0.1</f>
        <v>16.300000000000004</v>
      </c>
      <c r="D74" s="4" t="s">
        <v>198</v>
      </c>
      <c r="E74" s="8">
        <f t="shared" si="5"/>
        <v>73</v>
      </c>
      <c r="F74" s="4" t="s">
        <v>51</v>
      </c>
    </row>
    <row r="75" spans="1:6" ht="28.5">
      <c r="A75" s="8">
        <v>16</v>
      </c>
      <c r="B75" s="4" t="s">
        <v>13</v>
      </c>
      <c r="C75" s="8">
        <f t="shared" si="6"/>
        <v>16.400000000000006</v>
      </c>
      <c r="D75" s="4" t="s">
        <v>199</v>
      </c>
      <c r="E75" s="8">
        <f t="shared" si="5"/>
        <v>74</v>
      </c>
      <c r="F75" s="5" t="s">
        <v>52</v>
      </c>
    </row>
    <row r="76" spans="1:6">
      <c r="A76" s="8">
        <v>16</v>
      </c>
      <c r="B76" s="4" t="s">
        <v>13</v>
      </c>
      <c r="C76" s="8">
        <f t="shared" si="6"/>
        <v>16.500000000000007</v>
      </c>
      <c r="D76" s="4" t="s">
        <v>200</v>
      </c>
      <c r="E76" s="8">
        <f t="shared" si="5"/>
        <v>75</v>
      </c>
      <c r="F76" s="4" t="s">
        <v>50</v>
      </c>
    </row>
    <row r="77" spans="1:6" ht="28.5">
      <c r="A77" s="8">
        <v>16</v>
      </c>
      <c r="B77" s="4" t="s">
        <v>13</v>
      </c>
      <c r="C77" s="8">
        <f t="shared" si="6"/>
        <v>16.600000000000009</v>
      </c>
      <c r="D77" s="4" t="s">
        <v>201</v>
      </c>
      <c r="E77" s="8">
        <f t="shared" si="5"/>
        <v>76</v>
      </c>
      <c r="F77" s="4" t="s">
        <v>49</v>
      </c>
    </row>
    <row r="78" spans="1:6" ht="28.5">
      <c r="A78" s="8">
        <v>16</v>
      </c>
      <c r="B78" s="4" t="s">
        <v>13</v>
      </c>
      <c r="C78" s="8">
        <f t="shared" si="6"/>
        <v>16.70000000000001</v>
      </c>
      <c r="D78" s="4" t="s">
        <v>202</v>
      </c>
      <c r="E78" s="8">
        <f t="shared" si="5"/>
        <v>77</v>
      </c>
      <c r="F78" s="4" t="s">
        <v>63</v>
      </c>
    </row>
    <row r="79" spans="1:6" ht="57">
      <c r="A79" s="8">
        <v>16</v>
      </c>
      <c r="B79" s="4" t="s">
        <v>13</v>
      </c>
      <c r="C79" s="8">
        <f t="shared" si="6"/>
        <v>16.800000000000011</v>
      </c>
      <c r="D79" s="4" t="s">
        <v>203</v>
      </c>
      <c r="E79" s="8">
        <f t="shared" si="5"/>
        <v>78</v>
      </c>
      <c r="F79" s="4" t="s">
        <v>15</v>
      </c>
    </row>
    <row r="80" spans="1:6" ht="42.75">
      <c r="A80" s="8">
        <v>16</v>
      </c>
      <c r="B80" s="4" t="s">
        <v>13</v>
      </c>
      <c r="C80" s="8">
        <f t="shared" si="6"/>
        <v>16.900000000000013</v>
      </c>
      <c r="D80" s="4" t="s">
        <v>204</v>
      </c>
      <c r="E80" s="8">
        <f t="shared" si="5"/>
        <v>79</v>
      </c>
      <c r="F80" s="4" t="s">
        <v>14</v>
      </c>
    </row>
    <row r="81" spans="1:6" ht="42.75">
      <c r="A81" s="8">
        <v>16</v>
      </c>
      <c r="B81" s="4" t="s">
        <v>13</v>
      </c>
      <c r="C81" s="10" t="s">
        <v>137</v>
      </c>
      <c r="D81" s="4" t="s">
        <v>205</v>
      </c>
      <c r="E81" s="8">
        <f t="shared" si="5"/>
        <v>80</v>
      </c>
      <c r="F81" s="4" t="s">
        <v>16</v>
      </c>
    </row>
    <row r="82" spans="1:6" ht="42.75">
      <c r="A82" s="8">
        <v>16</v>
      </c>
      <c r="B82" s="4" t="s">
        <v>13</v>
      </c>
      <c r="C82" s="10" t="s">
        <v>138</v>
      </c>
      <c r="D82" s="4" t="s">
        <v>206</v>
      </c>
      <c r="E82" s="8">
        <f t="shared" si="5"/>
        <v>81</v>
      </c>
      <c r="F82" s="4" t="s">
        <v>17</v>
      </c>
    </row>
    <row r="83" spans="1:6" ht="42.75">
      <c r="A83" s="8">
        <v>17</v>
      </c>
      <c r="B83" s="4" t="s">
        <v>84</v>
      </c>
      <c r="C83" s="8">
        <v>17.100000000000001</v>
      </c>
      <c r="D83" s="4" t="s">
        <v>207</v>
      </c>
      <c r="E83" s="8">
        <f t="shared" si="5"/>
        <v>82</v>
      </c>
      <c r="F83" s="4" t="s">
        <v>61</v>
      </c>
    </row>
    <row r="84" spans="1:6" ht="42.75">
      <c r="A84" s="8">
        <v>17</v>
      </c>
      <c r="B84" s="4" t="s">
        <v>84</v>
      </c>
      <c r="C84" s="8">
        <f>C83+0.1</f>
        <v>17.200000000000003</v>
      </c>
      <c r="D84" s="4" t="s">
        <v>208</v>
      </c>
      <c r="E84" s="8">
        <f t="shared" si="5"/>
        <v>83</v>
      </c>
      <c r="F84" s="5" t="s">
        <v>89</v>
      </c>
    </row>
    <row r="85" spans="1:6">
      <c r="A85" s="8">
        <v>17</v>
      </c>
      <c r="B85" s="4" t="s">
        <v>84</v>
      </c>
      <c r="C85" s="8">
        <f t="shared" ref="C85:C91" si="7">C84+0.1</f>
        <v>17.300000000000004</v>
      </c>
      <c r="D85" s="4" t="s">
        <v>210</v>
      </c>
      <c r="E85" s="8">
        <f t="shared" si="5"/>
        <v>84</v>
      </c>
      <c r="F85" s="4" t="s">
        <v>209</v>
      </c>
    </row>
    <row r="86" spans="1:6" ht="28.5">
      <c r="A86" s="8">
        <v>17</v>
      </c>
      <c r="B86" s="4" t="s">
        <v>84</v>
      </c>
      <c r="C86" s="8">
        <f t="shared" si="7"/>
        <v>17.400000000000006</v>
      </c>
      <c r="D86" s="4" t="s">
        <v>211</v>
      </c>
      <c r="E86" s="8">
        <f t="shared" si="5"/>
        <v>85</v>
      </c>
      <c r="F86" s="4" t="s">
        <v>88</v>
      </c>
    </row>
    <row r="87" spans="1:6">
      <c r="A87" s="8">
        <v>17</v>
      </c>
      <c r="B87" s="4" t="s">
        <v>84</v>
      </c>
      <c r="C87" s="8">
        <f t="shared" si="7"/>
        <v>17.500000000000007</v>
      </c>
      <c r="D87" s="4" t="s">
        <v>213</v>
      </c>
      <c r="E87" s="8">
        <f t="shared" si="5"/>
        <v>86</v>
      </c>
      <c r="F87" s="4" t="s">
        <v>212</v>
      </c>
    </row>
    <row r="88" spans="1:6" ht="42.75">
      <c r="A88" s="8">
        <v>17</v>
      </c>
      <c r="B88" s="4" t="s">
        <v>84</v>
      </c>
      <c r="C88" s="8">
        <f t="shared" si="7"/>
        <v>17.600000000000009</v>
      </c>
      <c r="D88" s="4" t="s">
        <v>214</v>
      </c>
      <c r="E88" s="8">
        <f t="shared" si="5"/>
        <v>87</v>
      </c>
      <c r="F88" s="4" t="s">
        <v>25</v>
      </c>
    </row>
    <row r="89" spans="1:6" ht="28.5">
      <c r="A89" s="8">
        <v>17</v>
      </c>
      <c r="B89" s="4" t="s">
        <v>84</v>
      </c>
      <c r="C89" s="8">
        <f t="shared" si="7"/>
        <v>17.70000000000001</v>
      </c>
      <c r="D89" s="4" t="s">
        <v>215</v>
      </c>
      <c r="E89" s="8">
        <f t="shared" si="5"/>
        <v>88</v>
      </c>
      <c r="F89" s="4" t="s">
        <v>103</v>
      </c>
    </row>
    <row r="90" spans="1:6" ht="28.5">
      <c r="A90" s="8">
        <v>17</v>
      </c>
      <c r="B90" s="4" t="s">
        <v>84</v>
      </c>
      <c r="C90" s="8">
        <f t="shared" si="7"/>
        <v>17.800000000000011</v>
      </c>
      <c r="D90" s="4" t="s">
        <v>217</v>
      </c>
      <c r="E90" s="8">
        <f t="shared" si="5"/>
        <v>89</v>
      </c>
      <c r="F90" s="4" t="s">
        <v>216</v>
      </c>
    </row>
    <row r="91" spans="1:6" ht="42.75">
      <c r="A91" s="8">
        <v>17</v>
      </c>
      <c r="B91" s="4" t="s">
        <v>84</v>
      </c>
      <c r="C91" s="8">
        <f t="shared" si="7"/>
        <v>17.900000000000013</v>
      </c>
      <c r="D91" s="4" t="s">
        <v>218</v>
      </c>
      <c r="E91" s="8">
        <f t="shared" si="5"/>
        <v>90</v>
      </c>
      <c r="F91" s="4" t="s">
        <v>23</v>
      </c>
    </row>
    <row r="92" spans="1:6">
      <c r="A92" s="8">
        <v>17</v>
      </c>
      <c r="B92" s="4" t="s">
        <v>84</v>
      </c>
      <c r="C92" s="10" t="s">
        <v>139</v>
      </c>
      <c r="D92" s="4" t="s">
        <v>219</v>
      </c>
      <c r="E92" s="8">
        <f t="shared" si="5"/>
        <v>91</v>
      </c>
      <c r="F92" s="4" t="s">
        <v>24</v>
      </c>
    </row>
    <row r="93" spans="1:6" ht="28.5">
      <c r="A93" s="8">
        <v>18</v>
      </c>
      <c r="B93" s="4" t="s">
        <v>86</v>
      </c>
      <c r="C93" s="8">
        <f t="shared" ref="A71:C94" si="8">C92+1</f>
        <v>18.100000000000001</v>
      </c>
      <c r="D93" s="4" t="s">
        <v>220</v>
      </c>
      <c r="E93" s="8">
        <f t="shared" si="5"/>
        <v>92</v>
      </c>
      <c r="F93" s="4" t="s">
        <v>75</v>
      </c>
    </row>
    <row r="94" spans="1:6">
      <c r="A94" s="8">
        <v>19</v>
      </c>
      <c r="B94" s="4" t="s">
        <v>94</v>
      </c>
      <c r="C94" s="8">
        <f t="shared" si="8"/>
        <v>19.100000000000001</v>
      </c>
      <c r="D94" s="4" t="s">
        <v>221</v>
      </c>
      <c r="E94" s="8">
        <f t="shared" si="5"/>
        <v>93</v>
      </c>
      <c r="F94" s="5" t="s">
        <v>68</v>
      </c>
    </row>
  </sheetData>
  <autoFilter ref="D1:F94"/>
  <sortState ref="C2:F113">
    <sortCondition ref="D2:D113"/>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Kamran Kamran</dc:creator>
  <cp:lastModifiedBy>user</cp:lastModifiedBy>
  <dcterms:created xsi:type="dcterms:W3CDTF">2025-04-30T14:52:59Z</dcterms:created>
  <dcterms:modified xsi:type="dcterms:W3CDTF">2025-05-26T15:55:27Z</dcterms:modified>
</cp:coreProperties>
</file>